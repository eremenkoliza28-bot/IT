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21720" windowHeight="11400" activeTab="1"/>
  </bookViews>
  <sheets>
    <sheet name="Математика" sheetId="1" r:id="rId1"/>
    <sheet name="Кредит" sheetId="2" r:id="rId2"/>
  </sheets>
  <calcPr calcId="162913"/>
</workbook>
</file>

<file path=xl/calcChain.xml><?xml version="1.0" encoding="utf-8"?>
<calcChain xmlns="http://schemas.openxmlformats.org/spreadsheetml/2006/main">
  <c r="B10" i="2" l="1"/>
  <c r="B11" i="2" s="1"/>
  <c r="B12" i="2" s="1"/>
  <c r="B7" i="2"/>
  <c r="B9" i="2" s="1"/>
  <c r="B6" i="2"/>
  <c r="B8" i="2" s="1"/>
  <c r="Z10" i="1"/>
  <c r="Z8" i="1"/>
  <c r="X8" i="1"/>
  <c r="I8" i="1"/>
  <c r="H8" i="1"/>
  <c r="G8" i="1"/>
  <c r="F8" i="1"/>
  <c r="AA7" i="1"/>
  <c r="Z7" i="1"/>
  <c r="X7" i="1"/>
  <c r="T7" i="1"/>
  <c r="I7" i="1"/>
  <c r="G7" i="1"/>
  <c r="H7" i="1" s="1"/>
  <c r="F7" i="1"/>
  <c r="AA6" i="1"/>
  <c r="Z6" i="1"/>
  <c r="X6" i="1"/>
  <c r="T6" i="1"/>
  <c r="I6" i="1"/>
  <c r="H6" i="1"/>
  <c r="G6" i="1"/>
  <c r="F6" i="1"/>
  <c r="AA5" i="1"/>
  <c r="Z5" i="1"/>
  <c r="X5" i="1"/>
  <c r="T5" i="1"/>
  <c r="I5" i="1"/>
  <c r="G5" i="1"/>
  <c r="H5" i="1" s="1"/>
  <c r="F5" i="1"/>
  <c r="AA4" i="1"/>
  <c r="Z4" i="1"/>
  <c r="X4" i="1"/>
  <c r="T4" i="1"/>
  <c r="I4" i="1"/>
  <c r="H4" i="1"/>
  <c r="G4" i="1"/>
  <c r="F4" i="1"/>
  <c r="AA3" i="1"/>
  <c r="Z3" i="1"/>
  <c r="X3" i="1"/>
  <c r="I3" i="1"/>
  <c r="H3" i="1"/>
  <c r="G3" i="1"/>
  <c r="F3" i="1"/>
  <c r="AA2" i="1"/>
  <c r="Z2" i="1"/>
  <c r="X2" i="1"/>
  <c r="I2" i="1"/>
  <c r="G2" i="1"/>
  <c r="H2" i="1" s="1"/>
  <c r="F2" i="1"/>
  <c r="AA1" i="1"/>
</calcChain>
</file>

<file path=xl/sharedStrings.xml><?xml version="1.0" encoding="utf-8"?>
<sst xmlns="http://schemas.openxmlformats.org/spreadsheetml/2006/main" count="38" uniqueCount="37">
  <si>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</si>
  <si>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</si>
  <si>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</si>
  <si>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</si>
  <si>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</si>
  <si>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</si>
  <si>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цилиндра (мм3)</t>
  </si>
  <si>
    <t>Корень из объема</t>
  </si>
  <si>
    <t>Модуль отклонения</t>
  </si>
  <si>
    <t>№ п/п</t>
  </si>
  <si>
    <t>Начальная сумма (руб)</t>
  </si>
  <si>
    <t>Угол (град)</t>
  </si>
  <si>
    <t>Длина дуги</t>
  </si>
  <si>
    <t>Общая масса всех деталей</t>
  </si>
  <si>
    <t>Ставка годовая</t>
  </si>
  <si>
    <t>Масса деталей &gt; 2 кг</t>
  </si>
  <si>
    <t>Срок (лет)</t>
  </si>
  <si>
    <t>Средневзвешенная масса</t>
  </si>
  <si>
    <t>Сложный процент (POWER)</t>
  </si>
  <si>
    <t>Количество деталей &gt; 2 кг</t>
  </si>
  <si>
    <t>Непрерывный процент (EXP)</t>
  </si>
  <si>
    <t>Средняя масса</t>
  </si>
  <si>
    <t>Правило 72 (лет)</t>
  </si>
  <si>
    <t>Максимальная масса</t>
  </si>
  <si>
    <t>Точное удвоение (лет)</t>
  </si>
  <si>
    <t>Минимальная масса</t>
  </si>
  <si>
    <t>Сумма кредита</t>
  </si>
  <si>
    <t>Годовая ставка</t>
  </si>
  <si>
    <t>Показатель</t>
  </si>
  <si>
    <t>Значение</t>
  </si>
  <si>
    <t>Сумма с простыми процентами</t>
  </si>
  <si>
    <t>Сумма со сложными процентами</t>
  </si>
  <si>
    <t>Переплата (простые проценты)</t>
  </si>
  <si>
    <t>Переплата (сложные проценты)</t>
  </si>
  <si>
    <t>Ежемесячный платеж (аннуитет)</t>
  </si>
  <si>
    <t>Общая сумма выплат (аннуитет)</t>
  </si>
  <si>
    <t>Переплата (аннуитет)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</si>
</sst>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right"/>
    </xf>
    <xf numFmtId="4" fontId="0" fillId="0" borderId="1" xfId="0" applyNumberFormat="1" applyBorder="1"/>
    <xf numFmtId="1" fontId="0" fillId="0" borderId="1" xfId="0" applyNumberFormat="1" applyBorder="1"/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 vertical="center"/>
    </xf>
    <xf numFmtId="9" fontId="0" fillId="0" borderId="1" xfId="0" applyNumberFormat="1" applyBorder="1"/>
    <xf numFmtId="165" fontId="0" fillId="0" borderId="1" xfId="0" applyNumberFormat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Views>
    <sheetView workbookViewId="0"/>
  </sheetViews>
  <sheetFormatPr defaultRowHeight="14.4" x14ac:dyDescent="0.3"/>
  <cols>
    <col min="1" max="1" width="12" customWidth="1"/>
    <col min="2" max="18" width="18" customWidth="1"/>
    <col min="19" max="19" width="22" customWidth="1"/>
    <col min="20" max="27" width="18" customWidth="1"/>
    <col min="28" max="28" width="28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>
        <v>3</v>
      </c>
      <c r="S1" s="3" t="s">
        <v>10</v>
      </c>
      <c r="T1" s="4">
        <v>100000</v>
      </c>
      <c r="W1" s="3" t="s">
        <v>11</v>
      </c>
      <c r="X1" s="1" t="s">
        <v>12</v>
      </c>
      <c r="Y1" s="5">
        <v>60</v>
      </c>
      <c r="Z1" s="1"/>
      <c r="AA1" s="6">
        <f>SUM(D2:D8)</f>
        <v>21.799999999999997</v>
      </c>
      <c r="AB1" s="7" t="s">
        <v>13</v>
      </c>
    </row>
    <row r="2" spans="1:28" x14ac:dyDescent="0.3">
      <c r="A2" s="2">
        <v>1</v>
      </c>
      <c r="B2" s="8">
        <v>12.5</v>
      </c>
      <c r="C2" s="8">
        <v>30</v>
      </c>
      <c r="D2" s="8">
        <v>2.4</v>
      </c>
      <c r="E2" s="8">
        <v>145</v>
      </c>
      <c r="F2" s="8">
        <f t="shared" ref="F2:F8" si="0">2*B2</f>
        <v>25</v>
      </c>
      <c r="G2" s="6">
        <f t="shared" ref="G2:G8" si="1">PI()*B2^2*C2</f>
        <v>14726.215563702155</v>
      </c>
      <c r="H2" s="6">
        <f t="shared" ref="H2:H8" si="2">SQRT(G2)</f>
        <v>121.3516195347312</v>
      </c>
      <c r="I2" s="8">
        <f t="shared" ref="I2:I8" si="3">ABS(D2-$K$1)</f>
        <v>0.60000000000000009</v>
      </c>
      <c r="J2" s="2">
        <v>1</v>
      </c>
      <c r="S2" s="3" t="s">
        <v>14</v>
      </c>
      <c r="T2" s="9">
        <v>0.12</v>
      </c>
      <c r="X2" s="6">
        <f t="shared" ref="X2:X8" si="4">PI()*B2*$Y$1/180</f>
        <v>13.089969389957471</v>
      </c>
      <c r="Z2" s="6">
        <f t="shared" ref="Z2:Z8" si="5">B2*RADIANS($Y$1)</f>
        <v>13.089969389957471</v>
      </c>
      <c r="AA2" s="6">
        <f>SUMIF(D2:D8,"&gt;2")</f>
        <v>18.100000000000001</v>
      </c>
      <c r="AB2" s="7" t="s">
        <v>15</v>
      </c>
    </row>
    <row r="3" spans="1:28" x14ac:dyDescent="0.3">
      <c r="A3" s="2">
        <v>2</v>
      </c>
      <c r="B3" s="8">
        <v>8.3000000000000007</v>
      </c>
      <c r="C3" s="8">
        <v>25</v>
      </c>
      <c r="D3" s="8">
        <v>1.1000000000000001</v>
      </c>
      <c r="E3" s="8">
        <v>98</v>
      </c>
      <c r="F3" s="8">
        <f t="shared" si="0"/>
        <v>16.600000000000001</v>
      </c>
      <c r="G3" s="6">
        <f t="shared" si="1"/>
        <v>5410.6079476450223</v>
      </c>
      <c r="H3" s="6">
        <f t="shared" si="2"/>
        <v>73.556834812578927</v>
      </c>
      <c r="I3" s="8">
        <f t="shared" si="3"/>
        <v>1.9</v>
      </c>
      <c r="J3" s="2">
        <v>2</v>
      </c>
      <c r="S3" s="3" t="s">
        <v>16</v>
      </c>
      <c r="T3" s="5">
        <v>5</v>
      </c>
      <c r="X3" s="6">
        <f t="shared" si="4"/>
        <v>8.6917396749317621</v>
      </c>
      <c r="Z3" s="6">
        <f t="shared" si="5"/>
        <v>8.6917396749317604</v>
      </c>
      <c r="AA3" s="6">
        <f>SUMPRODUCT(D2:D8,E2:E8)/SUM(E2:E8)</f>
        <v>4.0744612928970474</v>
      </c>
      <c r="AB3" s="7" t="s">
        <v>17</v>
      </c>
    </row>
    <row r="4" spans="1:28" x14ac:dyDescent="0.3">
      <c r="A4" s="2">
        <v>3</v>
      </c>
      <c r="B4" s="8">
        <v>15.7</v>
      </c>
      <c r="C4" s="8">
        <v>40</v>
      </c>
      <c r="D4" s="8">
        <v>4</v>
      </c>
      <c r="E4" s="8">
        <v>210</v>
      </c>
      <c r="F4" s="8">
        <f t="shared" si="0"/>
        <v>31.4</v>
      </c>
      <c r="G4" s="6">
        <f t="shared" si="1"/>
        <v>30974.846927333921</v>
      </c>
      <c r="H4" s="6">
        <f t="shared" si="2"/>
        <v>175.99672419489494</v>
      </c>
      <c r="I4" s="8">
        <f t="shared" si="3"/>
        <v>1</v>
      </c>
      <c r="J4" s="2">
        <v>3</v>
      </c>
      <c r="S4" s="3" t="s">
        <v>18</v>
      </c>
      <c r="T4" s="4">
        <f>T1*POWER(1+T2,T3)</f>
        <v>176234.16832000006</v>
      </c>
      <c r="X4" s="6">
        <f t="shared" si="4"/>
        <v>16.441001553786581</v>
      </c>
      <c r="Z4" s="6">
        <f t="shared" si="5"/>
        <v>16.441001553786581</v>
      </c>
      <c r="AA4" s="6">
        <f>COUNTIF(D2:D8,"&gt;2")</f>
        <v>4</v>
      </c>
      <c r="AB4" s="7" t="s">
        <v>19</v>
      </c>
    </row>
    <row r="5" spans="1:28" x14ac:dyDescent="0.3">
      <c r="A5" s="2">
        <v>4</v>
      </c>
      <c r="B5" s="8">
        <v>6.2</v>
      </c>
      <c r="C5" s="8">
        <v>18</v>
      </c>
      <c r="D5" s="8">
        <v>0.7</v>
      </c>
      <c r="E5" s="8">
        <v>75</v>
      </c>
      <c r="F5" s="8">
        <f t="shared" si="0"/>
        <v>12.4</v>
      </c>
      <c r="G5" s="6">
        <f t="shared" si="1"/>
        <v>2173.7307888718501</v>
      </c>
      <c r="H5" s="6">
        <f t="shared" si="2"/>
        <v>46.623285908136616</v>
      </c>
      <c r="I5" s="8">
        <f t="shared" si="3"/>
        <v>2.2999999999999998</v>
      </c>
      <c r="J5" s="2">
        <v>4</v>
      </c>
      <c r="S5" s="3" t="s">
        <v>20</v>
      </c>
      <c r="T5" s="4">
        <f>T1*EXP(T2*T3)</f>
        <v>182211.88003905088</v>
      </c>
      <c r="X5" s="6">
        <f t="shared" si="4"/>
        <v>6.4926248174189052</v>
      </c>
      <c r="Z5" s="6">
        <f t="shared" si="5"/>
        <v>6.4926248174189052</v>
      </c>
      <c r="AA5" s="6">
        <f>AVERAGE(D2:D8)</f>
        <v>3.1142857142857139</v>
      </c>
      <c r="AB5" s="7" t="s">
        <v>21</v>
      </c>
    </row>
    <row r="6" spans="1:28" x14ac:dyDescent="0.3">
      <c r="A6" s="2">
        <v>5</v>
      </c>
      <c r="B6" s="8">
        <v>20.100000000000001</v>
      </c>
      <c r="C6" s="8">
        <v>55</v>
      </c>
      <c r="D6" s="8">
        <v>6.5</v>
      </c>
      <c r="E6" s="8">
        <v>320</v>
      </c>
      <c r="F6" s="8">
        <f t="shared" si="0"/>
        <v>40.200000000000003</v>
      </c>
      <c r="G6" s="6">
        <f t="shared" si="1"/>
        <v>69807.916638724681</v>
      </c>
      <c r="H6" s="6">
        <f t="shared" si="2"/>
        <v>264.21187830740064</v>
      </c>
      <c r="I6" s="8">
        <f t="shared" si="3"/>
        <v>3.5</v>
      </c>
      <c r="J6" s="2">
        <v>5</v>
      </c>
      <c r="S6" s="3" t="s">
        <v>22</v>
      </c>
      <c r="T6" s="5">
        <f>72/(T2*100)</f>
        <v>6</v>
      </c>
      <c r="X6" s="6">
        <f t="shared" si="4"/>
        <v>21.048670779051616</v>
      </c>
      <c r="Z6" s="6">
        <f t="shared" si="5"/>
        <v>21.048670779051612</v>
      </c>
      <c r="AA6" s="6">
        <f>MAX(D2:D8)</f>
        <v>6.5</v>
      </c>
      <c r="AB6" s="7" t="s">
        <v>23</v>
      </c>
    </row>
    <row r="7" spans="1:28" x14ac:dyDescent="0.3">
      <c r="A7" s="2">
        <v>6</v>
      </c>
      <c r="B7" s="8">
        <v>10.4</v>
      </c>
      <c r="C7" s="8">
        <v>28</v>
      </c>
      <c r="D7" s="8">
        <v>1.9</v>
      </c>
      <c r="E7" s="8">
        <v>130</v>
      </c>
      <c r="F7" s="8">
        <f t="shared" si="0"/>
        <v>20.8</v>
      </c>
      <c r="G7" s="6">
        <f t="shared" si="1"/>
        <v>9514.250519543617</v>
      </c>
      <c r="H7" s="6">
        <f t="shared" si="2"/>
        <v>97.541019676562826</v>
      </c>
      <c r="I7" s="8">
        <f t="shared" si="3"/>
        <v>1.1000000000000001</v>
      </c>
      <c r="J7" s="2">
        <v>6</v>
      </c>
      <c r="S7" s="3" t="s">
        <v>24</v>
      </c>
      <c r="T7" s="10">
        <f>LN(2)/LN(1+T2)</f>
        <v>6.1162553741996994</v>
      </c>
      <c r="X7" s="6">
        <f t="shared" si="4"/>
        <v>10.890854532444616</v>
      </c>
      <c r="Z7" s="6">
        <f t="shared" si="5"/>
        <v>10.890854532444616</v>
      </c>
      <c r="AA7" s="6">
        <f>MIN(D2:D8)</f>
        <v>0.7</v>
      </c>
      <c r="AB7" s="7" t="s">
        <v>25</v>
      </c>
    </row>
    <row r="8" spans="1:28" x14ac:dyDescent="0.3">
      <c r="A8" s="2">
        <v>7</v>
      </c>
      <c r="B8" s="8">
        <v>18.899999999999999</v>
      </c>
      <c r="C8" s="8">
        <v>48</v>
      </c>
      <c r="D8" s="8">
        <v>5.2</v>
      </c>
      <c r="E8" s="8">
        <v>275</v>
      </c>
      <c r="F8" s="8">
        <f t="shared" si="0"/>
        <v>37.799999999999997</v>
      </c>
      <c r="G8" s="6">
        <f t="shared" si="1"/>
        <v>53865.998965862877</v>
      </c>
      <c r="H8" s="6">
        <f t="shared" si="2"/>
        <v>232.09049736226359</v>
      </c>
      <c r="I8" s="8">
        <f t="shared" si="3"/>
        <v>2.2000000000000002</v>
      </c>
      <c r="J8" s="2">
        <v>7</v>
      </c>
      <c r="X8" s="6">
        <f t="shared" si="4"/>
        <v>19.792033717615695</v>
      </c>
      <c r="Z8" s="6">
        <f t="shared" si="5"/>
        <v>19.792033717615695</v>
      </c>
    </row>
    <row r="10" spans="1:28" x14ac:dyDescent="0.3">
      <c r="Z10" s="5">
        <f>DEGREES(PI()/3)</f>
        <v>59.999999999999993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/>
  </sheetViews>
  <sheetFormatPr defaultRowHeight="14.4" x14ac:dyDescent="0.3"/>
  <cols>
    <col min="1" max="1" width="32" customWidth="1"/>
    <col min="2" max="2" width="18" customWidth="1"/>
  </cols>
  <sheetData>
    <row r="1" spans="1:2" x14ac:dyDescent="0.3">
      <c r="A1" t="s">
        <v>26</v>
      </c>
      <c r="B1" s="4">
        <v>500000</v>
      </c>
    </row>
    <row r="2" spans="1:2" x14ac:dyDescent="0.3">
      <c r="A2" t="s">
        <v>27</v>
      </c>
      <c r="B2" s="9">
        <v>0.18</v>
      </c>
    </row>
    <row r="3" spans="1:2" x14ac:dyDescent="0.3">
      <c r="A3" t="s">
        <v>16</v>
      </c>
      <c r="B3" s="5">
        <v>3</v>
      </c>
    </row>
    <row r="5" spans="1:2" x14ac:dyDescent="0.3">
      <c r="A5" s="1" t="s">
        <v>28</v>
      </c>
      <c r="B5" s="1" t="s">
        <v>29</v>
      </c>
    </row>
    <row r="6" spans="1:2" x14ac:dyDescent="0.3">
      <c r="A6" s="11" t="s">
        <v>30</v>
      </c>
      <c r="B6" s="4">
        <f>B1*(1+B2*B3)</f>
        <v>770000</v>
      </c>
    </row>
    <row r="7" spans="1:2" x14ac:dyDescent="0.3">
      <c r="A7" s="11" t="s">
        <v>31</v>
      </c>
      <c r="B7" s="4">
        <f>B1*POWER(1+B2,B3)</f>
        <v>821515.99999999988</v>
      </c>
    </row>
    <row r="8" spans="1:2" x14ac:dyDescent="0.3">
      <c r="A8" s="11" t="s">
        <v>32</v>
      </c>
      <c r="B8" s="4">
        <f>B6-B1</f>
        <v>270000</v>
      </c>
    </row>
    <row r="9" spans="1:2" x14ac:dyDescent="0.3">
      <c r="A9" s="11" t="s">
        <v>33</v>
      </c>
      <c r="B9" s="4">
        <f>B7-B1</f>
        <v>321515.99999999988</v>
      </c>
    </row>
    <row r="10" spans="1:2" x14ac:dyDescent="0.3">
      <c r="A10" s="11" t="s">
        <v>34</v>
      </c>
      <c r="B10" s="4">
        <f>B1*B2/12/(1-POWER(1+B2/12,-B3*12))</f>
        <v>18076.197767958543</v>
      </c>
    </row>
    <row r="11" spans="1:2" x14ac:dyDescent="0.3">
      <c r="A11" s="11" t="s">
        <v>35</v>
      </c>
      <c r="B11" s="4">
        <f>B10*B3*12</f>
        <v>650743.11964650755</v>
      </c>
    </row>
    <row r="12" spans="1:2" x14ac:dyDescent="0.3">
      <c r="A12" s="11" t="s">
        <v>36</v>
      </c>
      <c r="B12" s="4">
        <f>B11-B1</f>
        <v>150743.11964650755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Математика</vt:lpstr>
      <vt:lpstr>Кредит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2026-09-23T08:21:34Z</dcterms:created>
  <dcterms:modified xsi:type="dcterms:W3CDTF">2026-09-23T08:25:37Z</dcterms:modified>
</cp:coreProperties>
</file>