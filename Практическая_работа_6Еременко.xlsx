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safronova08\"/>
    </mc:Choice>
  </mc:AlternateContent>
  <bookViews>
    <workbookView xWindow="360" yWindow="20" windowWidth="20960" windowHeight="9720"/>
  </bookViews>
  <sheets>
    <sheet name="Статистик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B39" i="2" l="1"/>
  <c r="D17" i="2"/>
  <c r="C17" i="2"/>
  <c r="E16" i="2"/>
  <c r="E15" i="2"/>
  <c r="E14" i="2"/>
  <c r="E13" i="2"/>
  <c r="E12" i="2"/>
  <c r="E11" i="2"/>
  <c r="E10" i="2"/>
  <c r="H10" i="2" s="1"/>
  <c r="E9" i="2"/>
  <c r="E8" i="2"/>
  <c r="E7" i="2"/>
  <c r="E6" i="2"/>
  <c r="H6" i="2" s="1"/>
  <c r="E5" i="2"/>
  <c r="E4" i="2"/>
  <c r="E3" i="2"/>
  <c r="E2" i="2"/>
  <c r="B25" i="2" s="1"/>
  <c r="F29" i="1"/>
  <c r="E29" i="1"/>
  <c r="D29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G16" i="1"/>
  <c r="F16" i="1"/>
  <c r="G15" i="1"/>
  <c r="F15" i="1"/>
  <c r="G14" i="1"/>
  <c r="F14" i="1"/>
  <c r="H14" i="1" s="1"/>
  <c r="G13" i="1"/>
  <c r="F13" i="1"/>
  <c r="H13" i="1" s="1"/>
  <c r="G12" i="1"/>
  <c r="F12" i="1"/>
  <c r="G11" i="1"/>
  <c r="F11" i="1"/>
  <c r="G10" i="1"/>
  <c r="F10" i="1"/>
  <c r="G9" i="1"/>
  <c r="F9" i="1"/>
  <c r="H9" i="1" s="1"/>
  <c r="G8" i="1"/>
  <c r="F8" i="1"/>
  <c r="G7" i="1"/>
  <c r="F7" i="1"/>
  <c r="G6" i="1"/>
  <c r="F6" i="1"/>
  <c r="I5" i="1"/>
  <c r="G5" i="1"/>
  <c r="F5" i="1"/>
  <c r="H5" i="1" s="1"/>
  <c r="G4" i="1"/>
  <c r="F4" i="1"/>
  <c r="G3" i="1"/>
  <c r="F3" i="1"/>
  <c r="G2" i="1"/>
  <c r="F2" i="1"/>
  <c r="C28" i="1"/>
  <c r="F27" i="1"/>
  <c r="F28" i="1"/>
  <c r="E27" i="1"/>
  <c r="C27" i="1"/>
  <c r="D28" i="1"/>
  <c r="B26" i="2"/>
  <c r="B28" i="1"/>
  <c r="D27" i="1"/>
  <c r="B27" i="1"/>
  <c r="E28" i="1"/>
  <c r="B27" i="2"/>
  <c r="I13" i="1" l="1"/>
  <c r="I8" i="1"/>
  <c r="B23" i="1"/>
  <c r="I9" i="1"/>
  <c r="I10" i="1"/>
  <c r="I11" i="1"/>
  <c r="I6" i="1"/>
  <c r="C21" i="1"/>
  <c r="I7" i="1"/>
  <c r="I15" i="1"/>
  <c r="I16" i="1"/>
  <c r="C26" i="1"/>
  <c r="I3" i="1"/>
  <c r="I4" i="1"/>
  <c r="I12" i="1"/>
  <c r="H14" i="2"/>
  <c r="H2" i="2"/>
  <c r="H15" i="2"/>
  <c r="H3" i="2"/>
  <c r="H16" i="2"/>
  <c r="H4" i="2"/>
  <c r="H5" i="2"/>
  <c r="H7" i="2"/>
  <c r="H8" i="2"/>
  <c r="H9" i="2"/>
  <c r="H11" i="2"/>
  <c r="H12" i="2"/>
  <c r="H13" i="2"/>
  <c r="G14" i="2"/>
  <c r="C23" i="1"/>
  <c r="F5" i="2"/>
  <c r="F9" i="2"/>
  <c r="F13" i="2"/>
  <c r="H4" i="1"/>
  <c r="H8" i="1"/>
  <c r="H12" i="1"/>
  <c r="H16" i="1"/>
  <c r="E17" i="2"/>
  <c r="G10" i="2" s="1"/>
  <c r="B31" i="1"/>
  <c r="B20" i="2"/>
  <c r="B24" i="2"/>
  <c r="H2" i="1"/>
  <c r="H6" i="1"/>
  <c r="H10" i="1"/>
  <c r="B25" i="1"/>
  <c r="I2" i="1"/>
  <c r="I14" i="1"/>
  <c r="C22" i="1"/>
  <c r="F4" i="2"/>
  <c r="F8" i="2"/>
  <c r="F16" i="2"/>
  <c r="H3" i="1"/>
  <c r="H7" i="1"/>
  <c r="H11" i="1"/>
  <c r="H15" i="1"/>
  <c r="B29" i="1"/>
  <c r="G8" i="2"/>
  <c r="G16" i="2"/>
  <c r="F17" i="1"/>
  <c r="G17" i="1"/>
  <c r="B24" i="1"/>
  <c r="F2" i="2"/>
  <c r="F6" i="2"/>
  <c r="F10" i="2"/>
  <c r="F14" i="2"/>
  <c r="B21" i="2"/>
  <c r="B21" i="1"/>
  <c r="C24" i="1"/>
  <c r="B22" i="2"/>
  <c r="F3" i="2"/>
  <c r="F7" i="2"/>
  <c r="F11" i="2"/>
  <c r="F15" i="2"/>
  <c r="B23" i="2"/>
  <c r="B22" i="1"/>
  <c r="C25" i="1"/>
  <c r="F12" i="2"/>
  <c r="B26" i="1"/>
  <c r="C29" i="1"/>
  <c r="G13" i="2" l="1"/>
  <c r="G12" i="2"/>
  <c r="G9" i="2"/>
  <c r="G4" i="2"/>
  <c r="G5" i="2"/>
  <c r="B34" i="2"/>
  <c r="B33" i="2"/>
  <c r="B32" i="2"/>
  <c r="B31" i="2"/>
  <c r="B35" i="2"/>
  <c r="G15" i="2"/>
  <c r="G11" i="2"/>
  <c r="G7" i="2"/>
  <c r="G3" i="2"/>
  <c r="G6" i="2"/>
  <c r="G2" i="2"/>
  <c r="G17" i="2" s="1"/>
</calcChain>
</file>

<file path=xl/sharedStrings.xml><?xml version="1.0" encoding="utf-8"?>
<sst xmlns="http://schemas.openxmlformats.org/spreadsheetml/2006/main" count="83" uniqueCount="74">
  <si>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</si>
  <si>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</si>
  <si>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</si>
  <si>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</si>
  <si>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</si>
  <si>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</si>
  <si>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</si>
  <si>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</si>
  <si>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</si>
  <si>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</si>
  <si>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</si>
  <si>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</si>
  <si>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</si>
  <si>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</si>
  <si>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</si>
  <si>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</si>
  <si>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</si>
  <si>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</si>
  <si>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</si>
  <si>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</si>
  <si>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</si>
  <si>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</si>
  <si>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</si>
  <si>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</si>
  <si>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ИТОГО / среднее по группе</t>
  </si>
  <si>
    <t>Статистические расчёты по столбцам «Сумма баллов» и «Средний балл»</t>
  </si>
  <si>
    <t>Показатель</t>
  </si>
  <si>
    <t>Сумма баллов (F)</t>
  </si>
  <si>
    <t>Средний балл (G)</t>
  </si>
  <si>
    <t>Балл 1 (C)</t>
  </si>
  <si>
    <t>Балл 2 (D)</t>
  </si>
  <si>
    <t>Балл 3 (E)</t>
  </si>
  <si>
    <t>Сумма</t>
  </si>
  <si>
    <t>Среднее</t>
  </si>
  <si>
    <t>Медиана</t>
  </si>
  <si>
    <t>Мода (— если нет повторов)</t>
  </si>
  <si>
    <t>Минимум</t>
  </si>
  <si>
    <t>Максимум</t>
  </si>
  <si>
    <t>Стандартное отклонение</t>
  </si>
  <si>
    <t>Дисперсия</t>
  </si>
  <si>
    <t>Количество (СЧЁТ)</t>
  </si>
  <si>
    <t>Корреляция «Балл 1» ↔ «Средний балл»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</si>
  <si>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</si>
  <si>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</si>
  <si>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</si>
  <si>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</si>
  <si>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</si>
  <si>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выручке, %</t>
  </si>
  <si>
    <t>Ранг по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</si>
  <si>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</si>
  <si>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</si>
  <si>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</si>
  <si>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</si>
  <si>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</si>
  <si>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</si>
  <si>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</si>
  <si>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</si>
  <si>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</si>
  <si>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</si>
  <si>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</si>
  <si>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</si>
  <si>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</si>
  <si>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</si>
  <si>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</si>
  <si>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</t>
  </si>
  <si>
    <t>3. Статистика по выручке</t>
  </si>
  <si>
    <t>4. Расчёты по условию (категория «Топ» / «Средний»)</t>
  </si>
  <si>
    <t>Количество товаров категории «Топ»</t>
  </si>
  <si>
    <t>Сумма выручки товаров категории «Топ»</t>
  </si>
  <si>
    <t>Средняя выручка товаров категории «Средний»</t>
  </si>
  <si>
    <t>Количество товаров категории «Средний»</t>
  </si>
  <si>
    <t>Количество товаров категории «Низкий»</t>
  </si>
  <si>
    <t>7. Корреляция между ценой и количеством проданных штук (КОРРЕЛ)</t>
  </si>
  <si>
    <t>Коэффициент корреляции (Цена ↔ Продано)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</si>
</sst>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,##0&quot; руб.&quot;"/>
  </numFmts>
  <fonts count="3" x14ac:knownFonts="1">
    <font>
      <sz val="11"/>
      <color theme="1"/>
      <name val="Calibri"/>
      <scheme val="minor"/>
    </font>
    <font>
      <b/>
      <sz val="11"/>
      <color indexed="65"/>
      <name val="Calibri"/>
    </font>
    <font>
      <b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/>
    <xf numFmtId="165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166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0" fontId="2" fillId="2" borderId="3" xfId="0" applyNumberFormat="1" applyFont="1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pane ySplit="2" topLeftCell="A18" activePane="bottomLeft" state="frozen"/>
      <selection pane="bottomLeft" activeCell="B33" sqref="B33"/>
    </sheetView>
  </sheetViews>
  <sheetFormatPr defaultRowHeight="14.5" x14ac:dyDescent="0.35"/>
  <cols>
    <col min="1" max="1" width="8" customWidth="1"/>
    <col min="2" max="2" width="24" customWidth="1"/>
    <col min="3" max="3" width="15" customWidth="1"/>
    <col min="4" max="4" width="16" customWidth="1"/>
    <col min="5" max="5" width="15" customWidth="1"/>
    <col min="6" max="7" width="14" customWidth="1"/>
    <col min="8" max="8" width="9" customWidth="1"/>
    <col min="9" max="9" width="8" customWidth="1"/>
  </cols>
  <sheetData>
    <row r="1" spans="1:9" ht="29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</row>
    <row r="2" spans="1:9" ht="32" customHeight="1" x14ac:dyDescent="0.35">
      <c r="A2" s="1">
        <v>1</v>
      </c>
      <c r="B2" s="2" t="s">
        <v>9</v>
      </c>
      <c r="C2" s="3">
        <v>85</v>
      </c>
      <c r="D2" s="3">
        <v>78</v>
      </c>
      <c r="E2" s="3">
        <v>92</v>
      </c>
      <c r="F2" s="1">
        <f t="shared" ref="F2:F8" si="0">SUM(C2:E2)</f>
        <v>255</v>
      </c>
      <c r="G2" s="4">
        <f t="shared" ref="G2:G8" si="1">ROUND(AVERAGE(C2:E2),1)</f>
        <v>85</v>
      </c>
      <c r="H2" s="1" t="str">
        <f t="shared" ref="H2:H8" si="2">IF(F2&gt;=250,"5",IF(F2&gt;=210,"4",IF(F2&gt;=160,"3","2")))</f>
        <v>5</v>
      </c>
      <c r="I2" s="1">
        <f t="shared" ref="I2:I8" si="3">RANK(F2,$F$2:$F$16)</f>
        <v>6</v>
      </c>
    </row>
    <row r="3" spans="1:9" x14ac:dyDescent="0.35">
      <c r="A3" s="1">
        <v>2</v>
      </c>
      <c r="B3" s="2" t="s">
        <v>10</v>
      </c>
      <c r="C3" s="3">
        <v>72</v>
      </c>
      <c r="D3" s="3">
        <v>65</v>
      </c>
      <c r="E3" s="3">
        <v>80</v>
      </c>
      <c r="F3" s="1">
        <f t="shared" si="0"/>
        <v>217</v>
      </c>
      <c r="G3" s="4">
        <f t="shared" si="1"/>
        <v>72.3</v>
      </c>
      <c r="H3" s="1" t="str">
        <f t="shared" si="2"/>
        <v>4</v>
      </c>
      <c r="I3" s="1">
        <f t="shared" si="3"/>
        <v>10</v>
      </c>
    </row>
    <row r="4" spans="1:9" x14ac:dyDescent="0.35">
      <c r="A4" s="1">
        <v>3</v>
      </c>
      <c r="B4" s="2" t="s">
        <v>11</v>
      </c>
      <c r="C4" s="3">
        <v>95</v>
      </c>
      <c r="D4" s="3">
        <v>88</v>
      </c>
      <c r="E4" s="3">
        <v>98</v>
      </c>
      <c r="F4" s="1">
        <f t="shared" si="0"/>
        <v>281</v>
      </c>
      <c r="G4" s="4">
        <f t="shared" si="1"/>
        <v>93.7</v>
      </c>
      <c r="H4" s="1" t="str">
        <f t="shared" si="2"/>
        <v>5</v>
      </c>
      <c r="I4" s="1">
        <f t="shared" si="3"/>
        <v>2</v>
      </c>
    </row>
    <row r="5" spans="1:9" x14ac:dyDescent="0.35">
      <c r="A5" s="1">
        <v>4</v>
      </c>
      <c r="B5" s="2" t="s">
        <v>12</v>
      </c>
      <c r="C5" s="3">
        <v>65</v>
      </c>
      <c r="D5" s="3">
        <v>55</v>
      </c>
      <c r="E5" s="3">
        <v>70</v>
      </c>
      <c r="F5" s="1">
        <f t="shared" si="0"/>
        <v>190</v>
      </c>
      <c r="G5" s="4">
        <f t="shared" si="1"/>
        <v>63.3</v>
      </c>
      <c r="H5" s="1" t="str">
        <f t="shared" si="2"/>
        <v>3</v>
      </c>
      <c r="I5" s="1">
        <f t="shared" si="3"/>
        <v>13</v>
      </c>
    </row>
    <row r="6" spans="1:9" x14ac:dyDescent="0.35">
      <c r="A6" s="1">
        <v>5</v>
      </c>
      <c r="B6" s="2" t="s">
        <v>13</v>
      </c>
      <c r="C6" s="3">
        <v>78</v>
      </c>
      <c r="D6" s="3">
        <v>82</v>
      </c>
      <c r="E6" s="3">
        <v>85</v>
      </c>
      <c r="F6" s="1">
        <f t="shared" si="0"/>
        <v>245</v>
      </c>
      <c r="G6" s="4">
        <f t="shared" si="1"/>
        <v>81.7</v>
      </c>
      <c r="H6" s="1" t="str">
        <f t="shared" si="2"/>
        <v>4</v>
      </c>
      <c r="I6" s="1">
        <f t="shared" si="3"/>
        <v>7</v>
      </c>
    </row>
    <row r="7" spans="1:9" x14ac:dyDescent="0.35">
      <c r="A7" s="1">
        <v>6</v>
      </c>
      <c r="B7" s="2" t="s">
        <v>14</v>
      </c>
      <c r="C7" s="3">
        <v>88</v>
      </c>
      <c r="D7" s="3">
        <v>90</v>
      </c>
      <c r="E7" s="3">
        <v>95</v>
      </c>
      <c r="F7" s="1">
        <f t="shared" si="0"/>
        <v>273</v>
      </c>
      <c r="G7" s="4">
        <f t="shared" si="1"/>
        <v>91</v>
      </c>
      <c r="H7" s="1" t="str">
        <f t="shared" si="2"/>
        <v>5</v>
      </c>
      <c r="I7" s="1">
        <f t="shared" si="3"/>
        <v>4</v>
      </c>
    </row>
    <row r="8" spans="1:9" x14ac:dyDescent="0.35">
      <c r="A8" s="1">
        <v>7</v>
      </c>
      <c r="B8" s="2" t="s">
        <v>15</v>
      </c>
      <c r="C8" s="3">
        <v>65</v>
      </c>
      <c r="D8" s="3">
        <v>70</v>
      </c>
      <c r="E8" s="3">
        <v>68</v>
      </c>
      <c r="F8" s="1">
        <f t="shared" si="0"/>
        <v>203</v>
      </c>
      <c r="G8" s="4">
        <f t="shared" si="1"/>
        <v>67.7</v>
      </c>
      <c r="H8" s="1" t="str">
        <f t="shared" si="2"/>
        <v>3</v>
      </c>
      <c r="I8" s="1">
        <f t="shared" si="3"/>
        <v>12</v>
      </c>
    </row>
    <row r="9" spans="1:9" x14ac:dyDescent="0.35">
      <c r="A9" s="1">
        <v>8</v>
      </c>
      <c r="B9" s="2" t="s">
        <v>16</v>
      </c>
      <c r="C9" s="3">
        <v>92</v>
      </c>
      <c r="D9" s="3">
        <v>85</v>
      </c>
      <c r="E9" s="3">
        <v>88</v>
      </c>
      <c r="F9" s="1">
        <f t="shared" ref="F9:F16" si="4">SUM(C9:E9)</f>
        <v>265</v>
      </c>
      <c r="G9" s="4">
        <f t="shared" ref="G9:G16" si="5">ROUND(AVERAGE(C9:E9),1)</f>
        <v>88.3</v>
      </c>
      <c r="H9" s="1" t="str">
        <f t="shared" ref="H9:H16" si="6">IF(F9&gt;=250,"5",IF(F9&gt;=210,"4",IF(F9&gt;=160,"3","2")))</f>
        <v>5</v>
      </c>
      <c r="I9" s="1">
        <f t="shared" ref="I9:I16" si="7">RANK(F9,$F$2:$F$16)</f>
        <v>5</v>
      </c>
    </row>
    <row r="10" spans="1:9" x14ac:dyDescent="0.35">
      <c r="A10" s="1">
        <v>9</v>
      </c>
      <c r="B10" s="2" t="s">
        <v>17</v>
      </c>
      <c r="C10" s="3">
        <v>55</v>
      </c>
      <c r="D10" s="3">
        <v>60</v>
      </c>
      <c r="E10" s="3">
        <v>58</v>
      </c>
      <c r="F10" s="1">
        <f t="shared" si="4"/>
        <v>173</v>
      </c>
      <c r="G10" s="4">
        <f t="shared" si="5"/>
        <v>57.7</v>
      </c>
      <c r="H10" s="1" t="str">
        <f t="shared" si="6"/>
        <v>3</v>
      </c>
      <c r="I10" s="1">
        <f t="shared" si="7"/>
        <v>15</v>
      </c>
    </row>
    <row r="11" spans="1:9" x14ac:dyDescent="0.35">
      <c r="A11" s="1">
        <v>10</v>
      </c>
      <c r="B11" s="2" t="s">
        <v>18</v>
      </c>
      <c r="C11" s="3">
        <v>80</v>
      </c>
      <c r="D11" s="3">
        <v>75</v>
      </c>
      <c r="E11" s="3">
        <v>82</v>
      </c>
      <c r="F11" s="1">
        <f t="shared" si="4"/>
        <v>237</v>
      </c>
      <c r="G11" s="4">
        <f t="shared" si="5"/>
        <v>79</v>
      </c>
      <c r="H11" s="1" t="str">
        <f t="shared" si="6"/>
        <v>4</v>
      </c>
      <c r="I11" s="1">
        <f t="shared" si="7"/>
        <v>8</v>
      </c>
    </row>
    <row r="12" spans="1:9" x14ac:dyDescent="0.35">
      <c r="A12" s="1">
        <v>11</v>
      </c>
      <c r="B12" s="2" t="s">
        <v>19</v>
      </c>
      <c r="C12" s="3">
        <v>70</v>
      </c>
      <c r="D12" s="3">
        <v>68</v>
      </c>
      <c r="E12" s="3">
        <v>72</v>
      </c>
      <c r="F12" s="1">
        <f t="shared" si="4"/>
        <v>210</v>
      </c>
      <c r="G12" s="4">
        <f t="shared" si="5"/>
        <v>70</v>
      </c>
      <c r="H12" s="1" t="str">
        <f t="shared" si="6"/>
        <v>4</v>
      </c>
      <c r="I12" s="1">
        <f t="shared" si="7"/>
        <v>11</v>
      </c>
    </row>
    <row r="13" spans="1:9" x14ac:dyDescent="0.35">
      <c r="A13" s="1">
        <v>12</v>
      </c>
      <c r="B13" s="2" t="s">
        <v>20</v>
      </c>
      <c r="C13" s="3">
        <v>90</v>
      </c>
      <c r="D13" s="3">
        <v>92</v>
      </c>
      <c r="E13" s="3">
        <v>94</v>
      </c>
      <c r="F13" s="1">
        <f t="shared" si="4"/>
        <v>276</v>
      </c>
      <c r="G13" s="4">
        <f t="shared" si="5"/>
        <v>92</v>
      </c>
      <c r="H13" s="1" t="str">
        <f t="shared" si="6"/>
        <v>5</v>
      </c>
      <c r="I13" s="1">
        <f t="shared" si="7"/>
        <v>3</v>
      </c>
    </row>
    <row r="14" spans="1:9" x14ac:dyDescent="0.35">
      <c r="A14" s="1">
        <v>13</v>
      </c>
      <c r="B14" s="2" t="s">
        <v>21</v>
      </c>
      <c r="C14" s="3">
        <v>75</v>
      </c>
      <c r="D14" s="3">
        <v>78</v>
      </c>
      <c r="E14" s="3">
        <v>80</v>
      </c>
      <c r="F14" s="1">
        <f t="shared" si="4"/>
        <v>233</v>
      </c>
      <c r="G14" s="4">
        <f t="shared" si="5"/>
        <v>77.7</v>
      </c>
      <c r="H14" s="1" t="str">
        <f t="shared" si="6"/>
        <v>4</v>
      </c>
      <c r="I14" s="1">
        <f t="shared" si="7"/>
        <v>9</v>
      </c>
    </row>
    <row r="15" spans="1:9" x14ac:dyDescent="0.35">
      <c r="A15" s="1">
        <v>14</v>
      </c>
      <c r="B15" s="2" t="s">
        <v>22</v>
      </c>
      <c r="C15" s="3">
        <v>62</v>
      </c>
      <c r="D15" s="3">
        <v>58</v>
      </c>
      <c r="E15" s="3">
        <v>65</v>
      </c>
      <c r="F15" s="1">
        <f t="shared" si="4"/>
        <v>185</v>
      </c>
      <c r="G15" s="4">
        <f t="shared" si="5"/>
        <v>61.7</v>
      </c>
      <c r="H15" s="1" t="str">
        <f t="shared" si="6"/>
        <v>3</v>
      </c>
      <c r="I15" s="1">
        <f t="shared" si="7"/>
        <v>14</v>
      </c>
    </row>
    <row r="16" spans="1:9" x14ac:dyDescent="0.35">
      <c r="A16" s="1">
        <v>15</v>
      </c>
      <c r="B16" s="2" t="s">
        <v>23</v>
      </c>
      <c r="C16" s="3">
        <v>98</v>
      </c>
      <c r="D16" s="3">
        <v>95</v>
      </c>
      <c r="E16" s="3">
        <v>100</v>
      </c>
      <c r="F16" s="1">
        <f t="shared" si="4"/>
        <v>293</v>
      </c>
      <c r="G16" s="4">
        <f t="shared" si="5"/>
        <v>97.7</v>
      </c>
      <c r="H16" s="1" t="str">
        <f t="shared" si="6"/>
        <v>5</v>
      </c>
      <c r="I16" s="1">
        <f t="shared" si="7"/>
        <v>1</v>
      </c>
    </row>
    <row r="17" spans="1:9" x14ac:dyDescent="0.35">
      <c r="A17" s="5"/>
      <c r="B17" s="6" t="s">
        <v>24</v>
      </c>
      <c r="C17" s="5"/>
      <c r="D17" s="5"/>
      <c r="E17" s="5"/>
      <c r="F17" s="5">
        <f>SUM(F2:F16)</f>
        <v>3536</v>
      </c>
      <c r="G17" s="7">
        <f>ROUND(AVERAGE(G2:G16),2)</f>
        <v>78.59</v>
      </c>
      <c r="H17" s="5"/>
      <c r="I17" s="5"/>
    </row>
    <row r="19" spans="1:9" x14ac:dyDescent="0.35">
      <c r="A19" s="8" t="s">
        <v>25</v>
      </c>
    </row>
    <row r="20" spans="1:9" ht="29" x14ac:dyDescent="0.35">
      <c r="A20" s="24" t="s">
        <v>26</v>
      </c>
      <c r="B20" s="24" t="s">
        <v>27</v>
      </c>
      <c r="C20" s="24" t="s">
        <v>28</v>
      </c>
      <c r="D20" s="24" t="s">
        <v>29</v>
      </c>
      <c r="E20" s="24" t="s">
        <v>30</v>
      </c>
      <c r="F20" s="24" t="s">
        <v>31</v>
      </c>
    </row>
    <row r="21" spans="1:9" ht="30" customHeight="1" x14ac:dyDescent="0.35">
      <c r="A21" s="2" t="s">
        <v>32</v>
      </c>
      <c r="B21" s="9">
        <f>SUM(F2:F16)</f>
        <v>3536</v>
      </c>
      <c r="C21" s="9">
        <f>SUM(G2:G16)</f>
        <v>1178.8000000000002</v>
      </c>
      <c r="D21" s="9">
        <f>SUM(C2:C16)</f>
        <v>1170</v>
      </c>
      <c r="E21" s="9">
        <f>SUM(D2:D16)</f>
        <v>1139</v>
      </c>
      <c r="F21" s="9">
        <f>SUM(E2:E16)</f>
        <v>1227</v>
      </c>
    </row>
    <row r="22" spans="1:9" x14ac:dyDescent="0.35">
      <c r="A22" s="2" t="s">
        <v>33</v>
      </c>
      <c r="B22" s="9">
        <f>AVERAGE(F2:F16)</f>
        <v>235.73333333333332</v>
      </c>
      <c r="C22" s="9">
        <f>AVERAGE(G2:G16)</f>
        <v>78.586666666666673</v>
      </c>
      <c r="D22" s="9">
        <f>AVERAGE(C2:C16)</f>
        <v>78</v>
      </c>
      <c r="E22" s="9">
        <f>AVERAGE(D2:D16)</f>
        <v>75.933333333333337</v>
      </c>
      <c r="F22" s="9">
        <f>AVERAGE(E2:E16)</f>
        <v>81.8</v>
      </c>
    </row>
    <row r="23" spans="1:9" x14ac:dyDescent="0.35">
      <c r="A23" s="2" t="s">
        <v>34</v>
      </c>
      <c r="B23" s="9">
        <f>MEDIAN(F2:F16)</f>
        <v>237</v>
      </c>
      <c r="C23" s="9">
        <f>MEDIAN(G2:G16)</f>
        <v>79</v>
      </c>
      <c r="D23" s="9">
        <f>MEDIAN(C2:C16)</f>
        <v>78</v>
      </c>
      <c r="E23" s="9">
        <f>MEDIAN(D2:D16)</f>
        <v>78</v>
      </c>
      <c r="F23" s="9">
        <f>MEDIAN(E2:E16)</f>
        <v>82</v>
      </c>
    </row>
    <row r="24" spans="1:9" x14ac:dyDescent="0.35">
      <c r="A24" s="2" t="s">
        <v>35</v>
      </c>
      <c r="B24" s="9" t="str">
        <f>IFERROR(MODE(F2:F16),"—")</f>
        <v>—</v>
      </c>
      <c r="C24" s="9" t="str">
        <f>IFERROR(MODE(G2:G16),"—")</f>
        <v>—</v>
      </c>
      <c r="D24" s="9">
        <f>IFERROR(MODE(C2:C16),"—")</f>
        <v>65</v>
      </c>
      <c r="E24" s="9">
        <f>IFERROR(MODE(D2:D16),"—")</f>
        <v>78</v>
      </c>
      <c r="F24" s="9">
        <f>IFERROR(MODE(E2:E16),"—")</f>
        <v>80</v>
      </c>
    </row>
    <row r="25" spans="1:9" x14ac:dyDescent="0.35">
      <c r="A25" s="2" t="s">
        <v>36</v>
      </c>
      <c r="B25" s="9">
        <f>MIN(F2:F16)</f>
        <v>173</v>
      </c>
      <c r="C25" s="9">
        <f>MIN(G2:G16)</f>
        <v>57.7</v>
      </c>
      <c r="D25" s="9">
        <f>MIN(C2:C16)</f>
        <v>55</v>
      </c>
      <c r="E25" s="9">
        <f>MIN(D2:D16)</f>
        <v>55</v>
      </c>
      <c r="F25" s="9">
        <f>MIN(E2:E16)</f>
        <v>58</v>
      </c>
    </row>
    <row r="26" spans="1:9" x14ac:dyDescent="0.35">
      <c r="A26" s="2" t="s">
        <v>37</v>
      </c>
      <c r="B26" s="9">
        <f>MAX(F2:F16)</f>
        <v>293</v>
      </c>
      <c r="C26" s="9">
        <f>MAX(G2:G16)</f>
        <v>97.7</v>
      </c>
      <c r="D26" s="9">
        <f>MAX(C2:C16)</f>
        <v>98</v>
      </c>
      <c r="E26" s="9">
        <f>MAX(D2:D16)</f>
        <v>95</v>
      </c>
      <c r="F26" s="9">
        <f>MAX(E2:E16)</f>
        <v>100</v>
      </c>
    </row>
    <row r="27" spans="1:9" x14ac:dyDescent="0.35">
      <c r="A27" s="2" t="s">
        <v>38</v>
      </c>
      <c r="B27" s="9" t="e">
        <f ca="1">_xludf.STDEV.S(F2:F16)</f>
        <v>#NAME?</v>
      </c>
      <c r="C27" s="9" t="e">
        <f ca="1">_xludf.STDEV.S(G2:G16)</f>
        <v>#NAME?</v>
      </c>
      <c r="D27" s="9" t="e">
        <f ca="1">_xludf.STDEV.S(C2:C16)</f>
        <v>#NAME?</v>
      </c>
      <c r="E27" s="9" t="e">
        <f ca="1">_xludf.STDEV.S(D2:D16)</f>
        <v>#NAME?</v>
      </c>
      <c r="F27" s="9" t="e">
        <f ca="1">_xludf.STDEV.S(E2:E16)</f>
        <v>#NAME?</v>
      </c>
    </row>
    <row r="28" spans="1:9" x14ac:dyDescent="0.35">
      <c r="A28" s="2" t="s">
        <v>39</v>
      </c>
      <c r="B28" s="9" t="e">
        <f ca="1">_xludf.VAR.S(F2:F16)</f>
        <v>#NAME?</v>
      </c>
      <c r="C28" s="9" t="e">
        <f ca="1">_xludf.VAR.S(G2:G16)</f>
        <v>#NAME?</v>
      </c>
      <c r="D28" s="9" t="e">
        <f ca="1">_xludf.VAR.S(C2:C16)</f>
        <v>#NAME?</v>
      </c>
      <c r="E28" s="9" t="e">
        <f ca="1">_xludf.VAR.S(D2:D16)</f>
        <v>#NAME?</v>
      </c>
      <c r="F28" s="9" t="e">
        <f ca="1">_xludf.VAR.S(E2:E16)</f>
        <v>#NAME?</v>
      </c>
    </row>
    <row r="29" spans="1:9" x14ac:dyDescent="0.35">
      <c r="A29" s="2" t="s">
        <v>40</v>
      </c>
      <c r="B29" s="9">
        <f>COUNT(F2:F16)</f>
        <v>15</v>
      </c>
      <c r="C29" s="9">
        <f>COUNT(G2:G16)</f>
        <v>15</v>
      </c>
      <c r="D29" s="9">
        <f>COUNT(C2:C16)</f>
        <v>15</v>
      </c>
      <c r="E29" s="9">
        <f>COUNT(D2:D16)</f>
        <v>15</v>
      </c>
      <c r="F29" s="9">
        <f>COUNT(E2:E16)</f>
        <v>15</v>
      </c>
    </row>
    <row r="30" spans="1:9" x14ac:dyDescent="0.35">
      <c r="A30" s="10"/>
      <c r="B30" s="10"/>
      <c r="C30" s="10"/>
      <c r="D30" s="10"/>
      <c r="E30" s="10"/>
      <c r="F30" s="10"/>
    </row>
    <row r="31" spans="1:9" x14ac:dyDescent="0.35">
      <c r="A31" s="2" t="s">
        <v>41</v>
      </c>
      <c r="B31" s="11">
        <f>CORREL(C2:C16,G2:G16)</f>
        <v>0.98706734244689021</v>
      </c>
      <c r="C31" s="10"/>
      <c r="D31" s="10"/>
      <c r="E31" s="10"/>
      <c r="F31" s="10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2" topLeftCell="A6" activePane="bottomLeft" state="frozen"/>
      <selection pane="bottomLeft" activeCell="F27" sqref="F27"/>
    </sheetView>
  </sheetViews>
  <sheetFormatPr defaultRowHeight="14.5" x14ac:dyDescent="0.35"/>
  <cols>
    <col min="1" max="1" width="20.7265625" customWidth="1"/>
    <col min="2" max="2" width="22" customWidth="1"/>
    <col min="3" max="3" width="14" customWidth="1"/>
    <col min="4" max="5" width="15" customWidth="1"/>
    <col min="6" max="6" width="12" customWidth="1"/>
    <col min="7" max="7" width="14" customWidth="1"/>
    <col min="8" max="8" width="12" customWidth="1"/>
  </cols>
  <sheetData>
    <row r="1" spans="1:8" ht="29" x14ac:dyDescent="0.35">
      <c r="A1" s="23" t="s">
        <v>0</v>
      </c>
      <c r="B1" s="23" t="s">
        <v>42</v>
      </c>
      <c r="C1" s="23" t="s">
        <v>43</v>
      </c>
      <c r="D1" s="23" t="s">
        <v>44</v>
      </c>
      <c r="E1" s="23" t="s">
        <v>45</v>
      </c>
      <c r="F1" s="23" t="s">
        <v>46</v>
      </c>
      <c r="G1" s="23" t="s">
        <v>47</v>
      </c>
      <c r="H1" s="23" t="s">
        <v>48</v>
      </c>
    </row>
    <row r="2" spans="1:8" ht="42" customHeight="1" x14ac:dyDescent="0.35">
      <c r="A2" s="12">
        <v>1</v>
      </c>
      <c r="B2" s="13" t="s">
        <v>49</v>
      </c>
      <c r="C2" s="14">
        <v>45000</v>
      </c>
      <c r="D2" s="15">
        <v>12</v>
      </c>
      <c r="E2" s="14">
        <f t="shared" ref="E2:E8" si="0">C2*D2</f>
        <v>540000</v>
      </c>
      <c r="F2" s="12" t="str">
        <f t="shared" ref="F2:F8" si="1">IF(E2&gt;100000,"Топ",IF(E2&gt;50000,"Средний","Низкий"))</f>
        <v>Топ</v>
      </c>
      <c r="G2" s="16">
        <f t="shared" ref="G2:G8" si="2">E2/$E$17</f>
        <v>0.28600180075207882</v>
      </c>
      <c r="H2" s="12">
        <f t="shared" ref="H2:H8" si="3">RANK(E2,$E$2:$E$16)</f>
        <v>1</v>
      </c>
    </row>
    <row r="3" spans="1:8" x14ac:dyDescent="0.35">
      <c r="A3" s="12">
        <v>2</v>
      </c>
      <c r="B3" s="13" t="s">
        <v>50</v>
      </c>
      <c r="C3" s="14">
        <v>18000</v>
      </c>
      <c r="D3" s="15">
        <v>25</v>
      </c>
      <c r="E3" s="14">
        <f t="shared" si="0"/>
        <v>450000</v>
      </c>
      <c r="F3" s="12" t="str">
        <f t="shared" si="1"/>
        <v>Топ</v>
      </c>
      <c r="G3" s="16">
        <f t="shared" si="2"/>
        <v>0.23833483396006566</v>
      </c>
      <c r="H3" s="12">
        <f t="shared" si="3"/>
        <v>2</v>
      </c>
    </row>
    <row r="4" spans="1:8" x14ac:dyDescent="0.35">
      <c r="A4" s="12">
        <v>3</v>
      </c>
      <c r="B4" s="13" t="s">
        <v>51</v>
      </c>
      <c r="C4" s="14">
        <v>1500</v>
      </c>
      <c r="D4" s="15">
        <v>60</v>
      </c>
      <c r="E4" s="14">
        <f t="shared" si="0"/>
        <v>90000</v>
      </c>
      <c r="F4" s="12" t="str">
        <f t="shared" si="1"/>
        <v>Средний</v>
      </c>
      <c r="G4" s="16">
        <f t="shared" si="2"/>
        <v>4.7666966792013134E-2</v>
      </c>
      <c r="H4" s="12">
        <f t="shared" si="3"/>
        <v>5</v>
      </c>
    </row>
    <row r="5" spans="1:8" x14ac:dyDescent="0.35">
      <c r="A5" s="12">
        <v>4</v>
      </c>
      <c r="B5" s="13" t="s">
        <v>52</v>
      </c>
      <c r="C5" s="14">
        <v>800</v>
      </c>
      <c r="D5" s="15">
        <v>85</v>
      </c>
      <c r="E5" s="14">
        <f t="shared" si="0"/>
        <v>68000</v>
      </c>
      <c r="F5" s="12" t="str">
        <f t="shared" si="1"/>
        <v>Средний</v>
      </c>
      <c r="G5" s="16">
        <f t="shared" si="2"/>
        <v>3.6015041576187699E-2</v>
      </c>
      <c r="H5" s="12">
        <f t="shared" si="3"/>
        <v>9</v>
      </c>
    </row>
    <row r="6" spans="1:8" x14ac:dyDescent="0.35">
      <c r="A6" s="12">
        <v>5</v>
      </c>
      <c r="B6" s="13" t="s">
        <v>53</v>
      </c>
      <c r="C6" s="14">
        <v>12000</v>
      </c>
      <c r="D6" s="15">
        <v>8</v>
      </c>
      <c r="E6" s="14">
        <f t="shared" si="0"/>
        <v>96000</v>
      </c>
      <c r="F6" s="12" t="str">
        <f t="shared" si="1"/>
        <v>Средний</v>
      </c>
      <c r="G6" s="16">
        <f t="shared" si="2"/>
        <v>5.0844764578147343E-2</v>
      </c>
      <c r="H6" s="12">
        <f t="shared" si="3"/>
        <v>4</v>
      </c>
    </row>
    <row r="7" spans="1:8" x14ac:dyDescent="0.35">
      <c r="A7" s="12">
        <v>6</v>
      </c>
      <c r="B7" s="13" t="s">
        <v>54</v>
      </c>
      <c r="C7" s="14">
        <v>9000</v>
      </c>
      <c r="D7" s="15">
        <v>6</v>
      </c>
      <c r="E7" s="14">
        <f t="shared" si="0"/>
        <v>54000</v>
      </c>
      <c r="F7" s="12" t="str">
        <f t="shared" si="1"/>
        <v>Средний</v>
      </c>
      <c r="G7" s="16">
        <f t="shared" si="2"/>
        <v>2.8600180075207881E-2</v>
      </c>
      <c r="H7" s="12">
        <f t="shared" si="3"/>
        <v>12</v>
      </c>
    </row>
    <row r="8" spans="1:8" x14ac:dyDescent="0.35">
      <c r="A8" s="12">
        <v>7</v>
      </c>
      <c r="B8" s="13" t="s">
        <v>55</v>
      </c>
      <c r="C8" s="14">
        <v>600</v>
      </c>
      <c r="D8" s="15">
        <v>120</v>
      </c>
      <c r="E8" s="14">
        <f t="shared" si="0"/>
        <v>72000</v>
      </c>
      <c r="F8" s="12" t="str">
        <f t="shared" si="1"/>
        <v>Средний</v>
      </c>
      <c r="G8" s="16">
        <f t="shared" si="2"/>
        <v>3.8133573433610506E-2</v>
      </c>
      <c r="H8" s="12">
        <f t="shared" si="3"/>
        <v>7</v>
      </c>
    </row>
    <row r="9" spans="1:8" x14ac:dyDescent="0.35">
      <c r="A9" s="12">
        <v>8</v>
      </c>
      <c r="B9" s="13" t="s">
        <v>56</v>
      </c>
      <c r="C9" s="14">
        <v>5500</v>
      </c>
      <c r="D9" s="15">
        <v>15</v>
      </c>
      <c r="E9" s="14">
        <f t="shared" ref="E9:E16" si="4">C9*D9</f>
        <v>82500</v>
      </c>
      <c r="F9" s="12" t="str">
        <f t="shared" ref="F9:F16" si="5">IF(E9&gt;100000,"Топ",IF(E9&gt;50000,"Средний","Низкий"))</f>
        <v>Средний</v>
      </c>
      <c r="G9" s="16">
        <f t="shared" ref="G9:G16" si="6">E9/$E$17</f>
        <v>4.3694719559345375E-2</v>
      </c>
      <c r="H9" s="12">
        <f t="shared" ref="H9:H16" si="7">RANK(E9,$E$2:$E$16)</f>
        <v>6</v>
      </c>
    </row>
    <row r="10" spans="1:8" x14ac:dyDescent="0.35">
      <c r="A10" s="12">
        <v>9</v>
      </c>
      <c r="B10" s="13" t="s">
        <v>57</v>
      </c>
      <c r="C10" s="14">
        <v>2800</v>
      </c>
      <c r="D10" s="15">
        <v>22</v>
      </c>
      <c r="E10" s="14">
        <f t="shared" si="4"/>
        <v>61600</v>
      </c>
      <c r="F10" s="12" t="str">
        <f t="shared" si="5"/>
        <v>Средний</v>
      </c>
      <c r="G10" s="16">
        <f t="shared" si="6"/>
        <v>3.2625390604311209E-2</v>
      </c>
      <c r="H10" s="12">
        <f t="shared" si="7"/>
        <v>11</v>
      </c>
    </row>
    <row r="11" spans="1:8" x14ac:dyDescent="0.35">
      <c r="A11" s="12">
        <v>10</v>
      </c>
      <c r="B11" s="13" t="s">
        <v>58</v>
      </c>
      <c r="C11" s="14">
        <v>3200</v>
      </c>
      <c r="D11" s="15">
        <v>35</v>
      </c>
      <c r="E11" s="14">
        <f t="shared" si="4"/>
        <v>112000</v>
      </c>
      <c r="F11" s="12" t="str">
        <f t="shared" si="5"/>
        <v>Топ</v>
      </c>
      <c r="G11" s="16">
        <f t="shared" si="6"/>
        <v>5.9318892007838568E-2</v>
      </c>
      <c r="H11" s="12">
        <f t="shared" si="7"/>
        <v>3</v>
      </c>
    </row>
    <row r="12" spans="1:8" x14ac:dyDescent="0.35">
      <c r="A12" s="12">
        <v>11</v>
      </c>
      <c r="B12" s="13" t="s">
        <v>59</v>
      </c>
      <c r="C12" s="14">
        <v>400</v>
      </c>
      <c r="D12" s="15">
        <v>90</v>
      </c>
      <c r="E12" s="14">
        <f t="shared" si="4"/>
        <v>36000</v>
      </c>
      <c r="F12" s="12" t="str">
        <f t="shared" si="5"/>
        <v>Низкий</v>
      </c>
      <c r="G12" s="16">
        <f t="shared" si="6"/>
        <v>1.9066786716805253E-2</v>
      </c>
      <c r="H12" s="12">
        <f t="shared" si="7"/>
        <v>15</v>
      </c>
    </row>
    <row r="13" spans="1:8" x14ac:dyDescent="0.35">
      <c r="A13" s="12">
        <v>12</v>
      </c>
      <c r="B13" s="13" t="s">
        <v>60</v>
      </c>
      <c r="C13" s="14">
        <v>1200</v>
      </c>
      <c r="D13" s="15">
        <v>40</v>
      </c>
      <c r="E13" s="14">
        <f t="shared" si="4"/>
        <v>48000</v>
      </c>
      <c r="F13" s="12" t="str">
        <f t="shared" si="5"/>
        <v>Низкий</v>
      </c>
      <c r="G13" s="16">
        <f t="shared" si="6"/>
        <v>2.5422382289073672E-2</v>
      </c>
      <c r="H13" s="12">
        <f t="shared" si="7"/>
        <v>13</v>
      </c>
    </row>
    <row r="14" spans="1:8" x14ac:dyDescent="0.35">
      <c r="A14" s="12">
        <v>13</v>
      </c>
      <c r="B14" s="13" t="s">
        <v>61</v>
      </c>
      <c r="C14" s="14">
        <v>2500</v>
      </c>
      <c r="D14" s="15">
        <v>18</v>
      </c>
      <c r="E14" s="14">
        <f t="shared" si="4"/>
        <v>45000</v>
      </c>
      <c r="F14" s="12" t="str">
        <f t="shared" si="5"/>
        <v>Низкий</v>
      </c>
      <c r="G14" s="16">
        <f t="shared" si="6"/>
        <v>2.3833483396006567E-2</v>
      </c>
      <c r="H14" s="12">
        <f t="shared" si="7"/>
        <v>14</v>
      </c>
    </row>
    <row r="15" spans="1:8" x14ac:dyDescent="0.35">
      <c r="A15" s="12">
        <v>14</v>
      </c>
      <c r="B15" s="13" t="s">
        <v>62</v>
      </c>
      <c r="C15" s="14">
        <v>350</v>
      </c>
      <c r="D15" s="15">
        <v>200</v>
      </c>
      <c r="E15" s="14">
        <f t="shared" si="4"/>
        <v>70000</v>
      </c>
      <c r="F15" s="12" t="str">
        <f t="shared" si="5"/>
        <v>Средний</v>
      </c>
      <c r="G15" s="16">
        <f t="shared" si="6"/>
        <v>3.7074307504899102E-2</v>
      </c>
      <c r="H15" s="12">
        <f t="shared" si="7"/>
        <v>8</v>
      </c>
    </row>
    <row r="16" spans="1:8" x14ac:dyDescent="0.35">
      <c r="A16" s="12">
        <v>15</v>
      </c>
      <c r="B16" s="13" t="s">
        <v>63</v>
      </c>
      <c r="C16" s="14">
        <v>4500</v>
      </c>
      <c r="D16" s="15">
        <v>14</v>
      </c>
      <c r="E16" s="14">
        <f t="shared" si="4"/>
        <v>63000</v>
      </c>
      <c r="F16" s="12" t="str">
        <f t="shared" si="5"/>
        <v>Средний</v>
      </c>
      <c r="G16" s="16">
        <f t="shared" si="6"/>
        <v>3.3366876754409192E-2</v>
      </c>
      <c r="H16" s="12">
        <f t="shared" si="7"/>
        <v>10</v>
      </c>
    </row>
    <row r="17" spans="1:8" x14ac:dyDescent="0.35">
      <c r="A17" s="17"/>
      <c r="B17" s="17" t="s">
        <v>64</v>
      </c>
      <c r="C17" s="18">
        <f>SUM(C2:C16)</f>
        <v>107350</v>
      </c>
      <c r="D17" s="19">
        <f>SUM(D2:D16)</f>
        <v>750</v>
      </c>
      <c r="E17" s="18">
        <f>SUM(E2:E16)</f>
        <v>1888100</v>
      </c>
      <c r="F17" s="17"/>
      <c r="G17" s="20">
        <f>SUM(G2:G16)</f>
        <v>1</v>
      </c>
      <c r="H17" s="17"/>
    </row>
    <row r="19" spans="1:8" x14ac:dyDescent="0.35">
      <c r="A19" s="8" t="s">
        <v>65</v>
      </c>
    </row>
    <row r="20" spans="1:8" x14ac:dyDescent="0.35">
      <c r="A20" s="13" t="s">
        <v>32</v>
      </c>
      <c r="B20" s="21">
        <f>IFERROR(SUM($E$2:$E$16),"—")</f>
        <v>1888100</v>
      </c>
    </row>
    <row r="21" spans="1:8" x14ac:dyDescent="0.35">
      <c r="A21" s="13" t="s">
        <v>33</v>
      </c>
      <c r="B21" s="21">
        <f>IFERROR(AVERAGE($E$2:$E$16),"—")</f>
        <v>125873.33333333333</v>
      </c>
    </row>
    <row r="22" spans="1:8" x14ac:dyDescent="0.35">
      <c r="A22" s="13" t="s">
        <v>34</v>
      </c>
      <c r="B22" s="21">
        <f>IFERROR(MEDIAN($E$2:$E$16),"—")</f>
        <v>70000</v>
      </c>
    </row>
    <row r="23" spans="1:8" x14ac:dyDescent="0.35">
      <c r="A23" s="13" t="s">
        <v>35</v>
      </c>
      <c r="B23" s="21" t="str">
        <f>IFERROR(MODE($E$2:$E$16),"—")</f>
        <v>—</v>
      </c>
    </row>
    <row r="24" spans="1:8" x14ac:dyDescent="0.35">
      <c r="A24" s="13" t="s">
        <v>36</v>
      </c>
      <c r="B24" s="21">
        <f>IFERROR(MIN($E$2:$E$16),"—")</f>
        <v>36000</v>
      </c>
    </row>
    <row r="25" spans="1:8" x14ac:dyDescent="0.35">
      <c r="A25" s="13" t="s">
        <v>37</v>
      </c>
      <c r="B25" s="21">
        <f>IFERROR(MAX($E$2:$E$16),"—")</f>
        <v>540000</v>
      </c>
    </row>
    <row r="26" spans="1:8" x14ac:dyDescent="0.35">
      <c r="A26" s="13" t="s">
        <v>38</v>
      </c>
      <c r="B26" s="21" t="str">
        <f ca="1">IFERROR(_xludf.STDEV.S($E$2:$E$16),"—")</f>
        <v>—</v>
      </c>
    </row>
    <row r="27" spans="1:8" x14ac:dyDescent="0.35">
      <c r="A27" s="13" t="s">
        <v>39</v>
      </c>
      <c r="B27" s="21" t="str">
        <f ca="1">IFERROR(_xludf.VAR.S($E$2:$E$16),"—")</f>
        <v>—</v>
      </c>
    </row>
    <row r="30" spans="1:8" x14ac:dyDescent="0.35">
      <c r="A30" s="8" t="s">
        <v>66</v>
      </c>
    </row>
    <row r="31" spans="1:8" x14ac:dyDescent="0.35">
      <c r="A31" s="13" t="s">
        <v>67</v>
      </c>
      <c r="B31" s="15">
        <f>COUNTIF($F$2:$F$16,"Топ")</f>
        <v>3</v>
      </c>
    </row>
    <row r="32" spans="1:8" x14ac:dyDescent="0.35">
      <c r="A32" s="13" t="s">
        <v>68</v>
      </c>
      <c r="B32" s="21">
        <f>SUMIF($F$2:$F$16,"Топ",$E$2:$E$16)</f>
        <v>1102000</v>
      </c>
    </row>
    <row r="33" spans="1:2" x14ac:dyDescent="0.35">
      <c r="A33" s="13" t="s">
        <v>69</v>
      </c>
      <c r="B33" s="21">
        <f>AVERAGEIF($F$2:$F$16,"Средний",$E$2:$E$16)</f>
        <v>73011.111111111109</v>
      </c>
    </row>
    <row r="34" spans="1:2" x14ac:dyDescent="0.35">
      <c r="A34" s="13" t="s">
        <v>70</v>
      </c>
      <c r="B34" s="15">
        <f>COUNTIF($F$2:$F$16,"Средний")</f>
        <v>9</v>
      </c>
    </row>
    <row r="35" spans="1:2" x14ac:dyDescent="0.35">
      <c r="A35" s="13" t="s">
        <v>71</v>
      </c>
      <c r="B35" s="15">
        <f>COUNTIF($F$2:$F$16,"Низкий")</f>
        <v>3</v>
      </c>
    </row>
    <row r="38" spans="1:2" x14ac:dyDescent="0.35">
      <c r="A38" s="8" t="s">
        <v>72</v>
      </c>
    </row>
    <row r="39" spans="1:2" x14ac:dyDescent="0.35">
      <c r="A39" s="13" t="s">
        <v>73</v>
      </c>
      <c r="B39" s="22">
        <f>CORREL($C$2:$C$16,$D$2:$D$16)</f>
        <v>-0.39694833806521035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cp:revision>1</cp:revision>
  <dcterms:created xsi:type="dcterms:W3CDTF">2026-09-30T08:18:45Z</dcterms:created>
  <dcterms:modified xsi:type="dcterms:W3CDTF">2026-09-30T09:29:04Z</dcterms:modified>
</cp:coreProperties>
</file>